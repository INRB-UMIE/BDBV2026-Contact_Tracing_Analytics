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t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<sst xmlns="http://schemas.openxmlformats.org/spreadsheetml/2006/main" count="52" uniqueCount="45">
  <si>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Contact-tracing headline indicators: 9 Oct vs 15 Oct 2026 data cuts</t>
  </si>
  <si>
    <t xml:space="preserve">Each column uses its own data cut and its own follow-up window (first follow-up ≤ data cut − 21 days). Percentages are calculated from the numerator and denominator columns.</t>
  </si>
  <si>
    <t xml:space="preserve">9 Oct 2026 data cut</t>
  </si>
  <si>
    <t xml:space="preserve">15 Oct 2026 data cut</t>
  </si>
  <si>
    <t xml:space="preserve">Measure</t>
  </si>
  <si>
    <t xml:space="preserve">Numerator / count</t>
  </si>
  <si>
    <t xml:space="preserve">Denominator</t>
  </si>
  <si>
    <t xml:space="preserve">%</t>
  </si>
  <si>
    <t xml:space="preserve">95% CI</t>
  </si>
  <si>
    <t xml:space="preserve">Notes</t>
  </si>
  <si>
    <t xml:space="preserve">Follow-up window closes (first follow-up on or before)</t>
  </si>
  <si>
    <t xml:space="preserve">2026-09-18</t>
  </si>
  <si>
    <t xml:space="preserve">2026-09-24</t>
  </si>
  <si>
    <t xml:space="preserve">Data cut − 21 days; used for SAR and % fully followed up</t>
  </si>
  <si>
    <t xml:space="preserve">Confirmed/probable cases</t>
  </si>
  <si>
    <t xml:space="preserve">Linelist, one row per person after harmonisation</t>
  </si>
  <si>
    <t xml:space="preserve">Source persons in contact-tracing data</t>
  </si>
  <si>
    <t xml:space="preserve">Any linelist status</t>
  </si>
  <si>
    <t xml:space="preserve">Contacts (unique persons)</t>
  </si>
  <si>
    <t xml:space="preserve">Source–contact pairs</t>
  </si>
  <si>
    <t xml:space="preserve">Cases with ≥1 contact listed</t>
  </si>
  <si>
    <t xml:space="preserve">Denominator = confirmed/probable cases</t>
  </si>
  <si>
    <t xml:space="preserve">Known contact before notification</t>
  </si>
  <si>
    <t xml:space="preserve">Case was a listed contact on/before own notification</t>
  </si>
  <si>
    <t xml:space="preserve">Secondary attack rate (SAR)</t>
  </si>
  <si>
    <t xml:space="preserve">1.4–2.8%</t>
  </si>
  <si>
    <t xml:space="preserve">1.3–2.4%</t>
  </si>
  <si>
    <t xml:space="preserve">Main definition (incl. CT 'case validated'). CI: bootstrap by source case. Wilson: 1.7–2.3% (9 Oct), 1.6–2.1% (15 Oct)</t>
  </si>
  <si>
    <t xml:space="preserve">SAR excluding 'case validated'</t>
  </si>
  <si>
    <t xml:space="preserve">1.0–1.7%</t>
  </si>
  <si>
    <t xml:space="preserve">1.0–1.6%</t>
  </si>
  <si>
    <t xml:space="preserve">CI: bootstrap by source case. Wilson: 1.1–1.5% (9 Oct), 1.0–1.5% (15 Oct)</t>
  </si>
  <si>
    <t xml:space="preserve">% contacts fully followed up</t>
  </si>
  <si>
    <t xml:space="preserve">20.2–28.2%</t>
  </si>
  <si>
    <t xml:space="preserve">18.7–26.1%</t>
  </si>
  <si>
    <t xml:space="preserve">Result recorded to day 21 of follow-up (cases: to detection). CI: bootstrap by source case. Wilson: 23.3–25.0% (9 Oct), 21.5–23.0% (15 Oct)</t>
  </si>
  <si>
    <t xml:space="preserve">Follow-up visits with blank result, since 14 Sep</t>
  </si>
  <si>
    <t xml:space="preserve">Visit rows dated on/after 14 Sep 2026</t>
  </si>
  <si>
    <t xml:space="preserve">Median delay, days (confirmed cases)</t>
  </si>
  <si>
    <t xml:space="preserve">Onset → notification</t>
  </si>
  <si>
    <t xml:space="preserve">All confirmed cases, delays 0–60 days (−60 to 60 for contacts); no onset cut-off (as in SI-4)</t>
  </si>
  <si>
    <t xml:space="preserve">Onset → lab result</t>
  </si>
  <si>
    <t xml:space="preserve">Notification → first contacts registered</t>
  </si>
  <si>
    <t xml:space="preserve">Onset → first contacts registered</t>
  </si>
  <si>
    <t xml:space="preserve">Source: BDBV2026-Contact_Tracing_Analytics pipeline (02_analysis.py) run on the 9 Oct and 15 Oct 2026 exports; aggregate figures only. The 15 Oct window closes on 24 Sep, so it includes more recent (mostly Beni) contacts. Serial interval and incubation fits were not rerun for 15 Oct.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</si>
</sst>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1454F"/>
      <name val="Arial"/>
      <family val="0"/>
      <charset val="1"/>
    </font>
    <font>
      <i val="true"/>
      <sz val="9"/>
      <color rgb="FF4A73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1454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1454F"/>
        <bgColor rgb="FF003300"/>
      </patternFill>
    </fill>
    <fill>
      <patternFill patternType="solid">
        <fgColor rgb="FFF2F7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C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8"/>
      <rgbColor rgb="FFCCFFFF"/>
      <rgbColor rgb="FF660066"/>
      <rgbColor rgb="FFFF8080"/>
      <rgbColor rgb="FF0066CC"/>
      <rgbColor rgb="FFD0DC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378"/>
      <rgbColor rgb="FF969696"/>
      <rgbColor rgb="FF0145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/>
      <c r="B4" s="4" t="s">
        <v>2</v>
      </c>
      <c r="C4" s="4"/>
      <c r="D4" s="4"/>
      <c r="E4" s="4"/>
      <c r="F4" s="4" t="s">
        <v>3</v>
      </c>
      <c r="G4" s="4"/>
      <c r="H4" s="4"/>
      <c r="I4" s="4"/>
      <c r="J4" s="5"/>
    </row>
    <row r="5" customFormat="false" ht="15" hidden="false" customHeight="false" outlineLevel="0" collapsed="false">
      <c r="A5" s="3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</row>
    <row r="6" customFormat="false" ht="15" hidden="false" customHeight="false" outlineLevel="0" collapsed="false">
      <c r="A6" s="6" t="s">
        <v>10</v>
      </c>
      <c r="B6" s="7" t="s">
        <v>11</v>
      </c>
      <c r="C6" s="7"/>
      <c r="D6" s="8"/>
      <c r="E6" s="7"/>
      <c r="F6" s="7" t="s">
        <v>12</v>
      </c>
      <c r="G6" s="7"/>
      <c r="H6" s="8"/>
      <c r="I6" s="7"/>
      <c r="J6" s="6" t="s">
        <v>13</v>
      </c>
    </row>
    <row r="7" customFormat="false" ht="15" hidden="false" customHeight="false" outlineLevel="0" collapsed="false">
      <c r="A7" s="9" t="s">
        <v>14</v>
      </c>
      <c r="B7" s="10" t="n">
        <v>8145</v>
      </c>
      <c r="C7" s="11"/>
      <c r="D7" s="12"/>
      <c r="E7" s="11"/>
      <c r="F7" s="10" t="n">
        <v>8953</v>
      </c>
      <c r="G7" s="11"/>
      <c r="H7" s="12"/>
      <c r="I7" s="11"/>
      <c r="J7" s="9" t="s">
        <v>15</v>
      </c>
    </row>
    <row r="8" customFormat="false" ht="15" hidden="false" customHeight="false" outlineLevel="0" collapsed="false">
      <c r="A8" s="6" t="s">
        <v>16</v>
      </c>
      <c r="B8" s="13" t="n">
        <v>1073</v>
      </c>
      <c r="C8" s="7"/>
      <c r="D8" s="8"/>
      <c r="E8" s="7"/>
      <c r="F8" s="13" t="n">
        <v>1169</v>
      </c>
      <c r="G8" s="7"/>
      <c r="H8" s="8"/>
      <c r="I8" s="7"/>
      <c r="J8" s="6" t="s">
        <v>17</v>
      </c>
    </row>
    <row r="9" customFormat="false" ht="15" hidden="false" customHeight="false" outlineLevel="0" collapsed="false">
      <c r="A9" s="9" t="s">
        <v>18</v>
      </c>
      <c r="B9" s="10" t="n">
        <v>12846</v>
      </c>
      <c r="C9" s="11"/>
      <c r="D9" s="12"/>
      <c r="E9" s="11"/>
      <c r="F9" s="10" t="n">
        <v>14324</v>
      </c>
      <c r="G9" s="11"/>
      <c r="H9" s="12"/>
      <c r="I9" s="11"/>
      <c r="J9" s="9"/>
    </row>
    <row r="10" customFormat="false" ht="15" hidden="false" customHeight="false" outlineLevel="0" collapsed="false">
      <c r="A10" s="6" t="s">
        <v>19</v>
      </c>
      <c r="B10" s="13" t="n">
        <v>13143</v>
      </c>
      <c r="C10" s="7"/>
      <c r="D10" s="8"/>
      <c r="E10" s="7"/>
      <c r="F10" s="13" t="n">
        <v>14638</v>
      </c>
      <c r="G10" s="7"/>
      <c r="H10" s="8"/>
      <c r="I10" s="7"/>
      <c r="J10" s="6"/>
    </row>
    <row r="11" customFormat="false" ht="15" hidden="false" customHeight="false" outlineLevel="0" collapsed="false">
      <c r="A11" s="9" t="s">
        <v>20</v>
      </c>
      <c r="B11" s="10" t="n">
        <v>717</v>
      </c>
      <c r="C11" s="10" t="n">
        <v>8145</v>
      </c>
      <c r="D11" s="12" t="n">
        <f aca="false">B11/C11</f>
        <v>0.0880294659300184</v>
      </c>
      <c r="E11" s="11"/>
      <c r="F11" s="10" t="n">
        <v>795</v>
      </c>
      <c r="G11" s="10" t="n">
        <v>8953</v>
      </c>
      <c r="H11" s="12" t="n">
        <f aca="false">F11/G11</f>
        <v>0.0887970512677315</v>
      </c>
      <c r="I11" s="11"/>
      <c r="J11" s="9" t="s">
        <v>21</v>
      </c>
    </row>
    <row r="12" customFormat="false" ht="15" hidden="false" customHeight="false" outlineLevel="0" collapsed="false">
      <c r="A12" s="6" t="s">
        <v>22</v>
      </c>
      <c r="B12" s="13" t="n">
        <v>45</v>
      </c>
      <c r="C12" s="13" t="n">
        <v>8145</v>
      </c>
      <c r="D12" s="8" t="n">
        <f aca="false">B12/C12</f>
        <v>0.00552486187845304</v>
      </c>
      <c r="E12" s="7"/>
      <c r="F12" s="13" t="n">
        <v>48</v>
      </c>
      <c r="G12" s="13" t="n">
        <v>8953</v>
      </c>
      <c r="H12" s="8" t="n">
        <f aca="false">F12/G12</f>
        <v>0.005361331397297</v>
      </c>
      <c r="I12" s="7"/>
      <c r="J12" s="6" t="s">
        <v>23</v>
      </c>
    </row>
    <row r="13" customFormat="false" ht="23.85" hidden="false" customHeight="false" outlineLevel="0" collapsed="false">
      <c r="A13" s="9" t="s">
        <v>24</v>
      </c>
      <c r="B13" s="10" t="n">
        <v>179</v>
      </c>
      <c r="C13" s="10" t="n">
        <v>8911</v>
      </c>
      <c r="D13" s="12" t="n">
        <f aca="false">B13/C13</f>
        <v>0.0200875322634946</v>
      </c>
      <c r="E13" s="11" t="s">
        <v>25</v>
      </c>
      <c r="F13" s="10" t="n">
        <v>197</v>
      </c>
      <c r="G13" s="10" t="n">
        <v>10839</v>
      </c>
      <c r="H13" s="12" t="n">
        <f aca="false">F13/G13</f>
        <v>0.0181751084048344</v>
      </c>
      <c r="I13" s="11" t="s">
        <v>26</v>
      </c>
      <c r="J13" s="9" t="s">
        <v>27</v>
      </c>
    </row>
    <row r="14" customFormat="false" ht="15" hidden="false" customHeight="false" outlineLevel="0" collapsed="false">
      <c r="A14" s="6" t="s">
        <v>28</v>
      </c>
      <c r="B14" s="13" t="n">
        <v>115</v>
      </c>
      <c r="C14" s="13" t="n">
        <v>8911</v>
      </c>
      <c r="D14" s="8" t="n">
        <f aca="false">B14/C14</f>
        <v>0.0129053978229155</v>
      </c>
      <c r="E14" s="7" t="s">
        <v>29</v>
      </c>
      <c r="F14" s="13" t="n">
        <v>134</v>
      </c>
      <c r="G14" s="13" t="n">
        <v>10839</v>
      </c>
      <c r="H14" s="8" t="n">
        <f aca="false">F14/G14</f>
        <v>0.0123627640926285</v>
      </c>
      <c r="I14" s="7" t="s">
        <v>30</v>
      </c>
      <c r="J14" s="6" t="s">
        <v>31</v>
      </c>
    </row>
    <row r="15" customFormat="false" ht="23.85" hidden="false" customHeight="false" outlineLevel="0" collapsed="false">
      <c r="A15" s="9" t="s">
        <v>32</v>
      </c>
      <c r="B15" s="10" t="n">
        <v>2532</v>
      </c>
      <c r="C15" s="10" t="n">
        <v>10484</v>
      </c>
      <c r="D15" s="12" t="n">
        <f aca="false">B15/C15</f>
        <v>0.241510873712324</v>
      </c>
      <c r="E15" s="11" t="s">
        <v>33</v>
      </c>
      <c r="F15" s="10" t="n">
        <v>2869</v>
      </c>
      <c r="G15" s="10" t="n">
        <v>12899</v>
      </c>
      <c r="H15" s="12" t="n">
        <f aca="false">F15/G15</f>
        <v>0.222420342662222</v>
      </c>
      <c r="I15" s="11" t="s">
        <v>34</v>
      </c>
      <c r="J15" s="9" t="s">
        <v>35</v>
      </c>
    </row>
    <row r="16" customFormat="false" ht="15" hidden="false" customHeight="false" outlineLevel="0" collapsed="false">
      <c r="A16" s="6" t="s">
        <v>36</v>
      </c>
      <c r="B16" s="13" t="n">
        <v>34657</v>
      </c>
      <c r="C16" s="13" t="n">
        <v>46997</v>
      </c>
      <c r="D16" s="8" t="n">
        <f aca="false">B16/C16</f>
        <v>0.737430048726514</v>
      </c>
      <c r="E16" s="7"/>
      <c r="F16" s="13" t="n">
        <v>36489</v>
      </c>
      <c r="G16" s="13" t="n">
        <v>56654</v>
      </c>
      <c r="H16" s="8" t="n">
        <f aca="false">F16/G16</f>
        <v>0.644067497440604</v>
      </c>
      <c r="I16" s="7"/>
      <c r="J16" s="6" t="s">
        <v>37</v>
      </c>
    </row>
    <row r="17" customFormat="false" ht="15" hidden="false" customHeight="false" outlineLevel="0" collapsed="false">
      <c r="A17" s="14" t="s">
        <v>38</v>
      </c>
      <c r="B17" s="11"/>
      <c r="C17" s="11"/>
      <c r="D17" s="12"/>
      <c r="E17" s="11"/>
      <c r="F17" s="11"/>
      <c r="G17" s="11"/>
      <c r="H17" s="12"/>
      <c r="I17" s="11"/>
      <c r="J17" s="9"/>
    </row>
    <row r="18" customFormat="false" ht="23.85" hidden="false" customHeight="false" outlineLevel="0" collapsed="false">
      <c r="A18" s="6" t="s">
        <v>39</v>
      </c>
      <c r="B18" s="13" t="n">
        <v>4</v>
      </c>
      <c r="C18" s="7"/>
      <c r="D18" s="8"/>
      <c r="E18" s="7"/>
      <c r="F18" s="13" t="n">
        <v>4</v>
      </c>
      <c r="G18" s="7"/>
      <c r="H18" s="8"/>
      <c r="I18" s="7"/>
      <c r="J18" s="6" t="s">
        <v>40</v>
      </c>
    </row>
    <row r="19" customFormat="false" ht="23.85" hidden="false" customHeight="false" outlineLevel="0" collapsed="false">
      <c r="A19" s="9" t="s">
        <v>41</v>
      </c>
      <c r="B19" s="10" t="n">
        <v>7</v>
      </c>
      <c r="C19" s="11"/>
      <c r="D19" s="12"/>
      <c r="E19" s="11"/>
      <c r="F19" s="10" t="n">
        <v>7</v>
      </c>
      <c r="G19" s="11"/>
      <c r="H19" s="12"/>
      <c r="I19" s="11"/>
      <c r="J19" s="9" t="s">
        <v>40</v>
      </c>
    </row>
    <row r="20" customFormat="false" ht="23.85" hidden="false" customHeight="false" outlineLevel="0" collapsed="false">
      <c r="A20" s="6" t="s">
        <v>42</v>
      </c>
      <c r="B20" s="13" t="n">
        <v>4</v>
      </c>
      <c r="C20" s="7"/>
      <c r="D20" s="8"/>
      <c r="E20" s="7"/>
      <c r="F20" s="13" t="n">
        <v>4</v>
      </c>
      <c r="G20" s="7"/>
      <c r="H20" s="8"/>
      <c r="I20" s="7"/>
      <c r="J20" s="6" t="s">
        <v>40</v>
      </c>
    </row>
    <row r="21" customFormat="false" ht="23.85" hidden="false" customHeight="false" outlineLevel="0" collapsed="false">
      <c r="A21" s="9" t="s">
        <v>43</v>
      </c>
      <c r="B21" s="10" t="n">
        <v>11</v>
      </c>
      <c r="C21" s="11"/>
      <c r="D21" s="12"/>
      <c r="E21" s="11"/>
      <c r="F21" s="10" t="n">
        <v>11</v>
      </c>
      <c r="G21" s="11"/>
      <c r="H21" s="12"/>
      <c r="I21" s="11"/>
      <c r="J21" s="9" t="s">
        <v>40</v>
      </c>
    </row>
    <row r="23" customFormat="false" ht="15" hidden="false" customHeight="false" outlineLevel="0" collapsed="false">
      <c r="A23" s="2" t="s">
        <v>44</v>
      </c>
    </row>
  </sheetData>
  <mergeCells count="2">
    <mergeCell ref="B4:E4"/>
    <mergeCell ref="F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2026-10-15T15:11:51Z</dcterms:created>
  <dc:creator>openpyxl</dc:creator>
  <dc:description/>
  <dc:language>en-US</dc:language>
  <cp:lastModifiedBy/>
  <dcterms:modified xsi:type="dcterms:W3CDTF">2026-10-15T15:11:51Z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